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eford/Dropbox/Citadel spectra samples ZD/CSV files/"/>
    </mc:Choice>
  </mc:AlternateContent>
  <xr:revisionPtr revIDLastSave="0" documentId="13_ncr:1_{7532035D-9E0B-F741-8848-60E67C5B7415}" xr6:coauthVersionLast="47" xr6:coauthVersionMax="47" xr10:uidLastSave="{00000000-0000-0000-0000-000000000000}"/>
  <bookViews>
    <workbookView xWindow="2300" yWindow="2320" windowWidth="26840" windowHeight="15940" xr2:uid="{85F4067A-3D24-4749-A16E-897290A23FBE}"/>
  </bookViews>
  <sheets>
    <sheet name="Sheet1" sheetId="1" r:id="rId1"/>
  </sheets>
  <definedNames>
    <definedName name="_xlnm._FilterDatabase" localSheetId="0" hidden="1">Sheet1!$A$1:$I$50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5" i="1"/>
  <c r="H28" i="1"/>
  <c r="H29" i="1"/>
  <c r="H31" i="1"/>
  <c r="H32" i="1"/>
  <c r="H34" i="1"/>
  <c r="H35" i="1"/>
  <c r="H39" i="1"/>
  <c r="H40" i="1"/>
  <c r="H41" i="1"/>
  <c r="H42" i="1"/>
  <c r="H43" i="1"/>
  <c r="H47" i="1"/>
  <c r="H49" i="1"/>
  <c r="H33" i="1"/>
  <c r="H36" i="1"/>
  <c r="H37" i="1"/>
  <c r="H38" i="1"/>
  <c r="H44" i="1"/>
  <c r="H45" i="1"/>
  <c r="H46" i="1"/>
  <c r="H48" i="1"/>
  <c r="H50" i="1"/>
  <c r="H24" i="1"/>
  <c r="H26" i="1"/>
  <c r="H27" i="1"/>
  <c r="H30" i="1"/>
</calcChain>
</file>

<file path=xl/sharedStrings.xml><?xml version="1.0" encoding="utf-8"?>
<sst xmlns="http://schemas.openxmlformats.org/spreadsheetml/2006/main" count="352" uniqueCount="82">
  <si>
    <t>SITE</t>
  </si>
  <si>
    <t>TRANSECT</t>
  </si>
  <si>
    <t>LOCATION</t>
  </si>
  <si>
    <t>TREATMENT</t>
  </si>
  <si>
    <t>COLOR</t>
  </si>
  <si>
    <t>HA</t>
  </si>
  <si>
    <t>T1</t>
  </si>
  <si>
    <t>M2</t>
  </si>
  <si>
    <t>N</t>
  </si>
  <si>
    <t>YELLOW</t>
  </si>
  <si>
    <t>ROAD PAINT</t>
  </si>
  <si>
    <t>HA.T1.M2.N</t>
  </si>
  <si>
    <t>S</t>
  </si>
  <si>
    <t>HA.T1.M2.S</t>
  </si>
  <si>
    <t>R1</t>
  </si>
  <si>
    <t>WHITE</t>
  </si>
  <si>
    <t>HA.T1.R1.N</t>
  </si>
  <si>
    <t>HA.T1.R1.S</t>
  </si>
  <si>
    <t>R2</t>
  </si>
  <si>
    <t>HA.T1.R2.S</t>
  </si>
  <si>
    <t>HA.T1.T1.N</t>
  </si>
  <si>
    <t>T2</t>
  </si>
  <si>
    <t>M1</t>
  </si>
  <si>
    <t>T3</t>
  </si>
  <si>
    <t>JS</t>
  </si>
  <si>
    <t>BLUE</t>
  </si>
  <si>
    <t>FRAGMENT</t>
  </si>
  <si>
    <t>ORANGE</t>
  </si>
  <si>
    <t>LD</t>
  </si>
  <si>
    <t>CLEAR</t>
  </si>
  <si>
    <t>T4</t>
  </si>
  <si>
    <t>FOAM</t>
  </si>
  <si>
    <t>FIBER</t>
  </si>
  <si>
    <t>GREEN</t>
  </si>
  <si>
    <t>RR</t>
  </si>
  <si>
    <t>HA.T1.T1.S</t>
  </si>
  <si>
    <t>HA.T1.T2.S</t>
  </si>
  <si>
    <t>HA.T1.T2.N</t>
  </si>
  <si>
    <t>HA.T2.M1.S</t>
  </si>
  <si>
    <t>HA.T2.M2.S</t>
  </si>
  <si>
    <t>HA.T2.R1.N</t>
  </si>
  <si>
    <t>HA.T2.R2.S</t>
  </si>
  <si>
    <t>HA.T2.T2.S</t>
  </si>
  <si>
    <t>HA.T3.M1.N</t>
  </si>
  <si>
    <t>HA.T3.M2.S</t>
  </si>
  <si>
    <t>HA.T3.M2.N</t>
  </si>
  <si>
    <t>HA.T3.R1.S</t>
  </si>
  <si>
    <t>HA.T3.R2.S</t>
  </si>
  <si>
    <t>HA.T3.T1.S</t>
  </si>
  <si>
    <t>HA.T3.T2.S</t>
  </si>
  <si>
    <t>JS.T1.M1.S</t>
  </si>
  <si>
    <t>JS.T1.M2.N</t>
  </si>
  <si>
    <t>JS.T1.R1.S</t>
  </si>
  <si>
    <t>JS.T1.R2.N</t>
  </si>
  <si>
    <t>JS.T1.T2.N</t>
  </si>
  <si>
    <t>JS.T2.R1.N</t>
  </si>
  <si>
    <t>JS.T2.T2.S</t>
  </si>
  <si>
    <t>JS.T3.M2.N</t>
  </si>
  <si>
    <t>JS.T3.T2.N</t>
  </si>
  <si>
    <t>LD.T3.T3.S</t>
  </si>
  <si>
    <t>LD.T3.T3.N</t>
  </si>
  <si>
    <t>LD.T3.T4.S</t>
  </si>
  <si>
    <t>LD.T3.T4.N</t>
  </si>
  <si>
    <t>LD.T4.T4.N</t>
  </si>
  <si>
    <t>LD.T4.T4.S</t>
  </si>
  <si>
    <t>LD.T4.T3.N</t>
  </si>
  <si>
    <t>RR.T1.M1.N</t>
  </si>
  <si>
    <t>RR.T1.M2.N</t>
  </si>
  <si>
    <t>RR.T4.M2.N</t>
  </si>
  <si>
    <t>RR.T1.M2.S</t>
  </si>
  <si>
    <t>RR.T1.R2.S</t>
  </si>
  <si>
    <t>RR.T2.R1.S</t>
  </si>
  <si>
    <t>RR.T2.R2.S</t>
  </si>
  <si>
    <t>RR.T2.T1.S</t>
  </si>
  <si>
    <t>RR.T2.T2.S</t>
  </si>
  <si>
    <t>RR.T3.M2.S</t>
  </si>
  <si>
    <t>RR.T3.R1.S</t>
  </si>
  <si>
    <t>RR.T3.R2.S</t>
  </si>
  <si>
    <t>Sample name</t>
  </si>
  <si>
    <t>Microplastic type</t>
  </si>
  <si>
    <t>Paint or non-paint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</si>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</sst>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1E58-3686-3B4E-8FB0-FD29198A71C1}">
  <dimension ref="A1:I50"/>
  <sheetViews>
    <sheetView tabSelected="1" topLeftCell="A2" workbookViewId="0">
      <selection activeCell="I2" sqref="I2"/>
    </sheetView>
  </sheetViews>
  <sheetFormatPr baseColWidth="10" defaultRowHeight="16" x14ac:dyDescent="0.2"/>
  <cols>
    <col min="6" max="6" width="37.5" bestFit="1" customWidth="1"/>
    <col min="8" max="8" width="15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79</v>
      </c>
      <c r="G1" t="s">
        <v>78</v>
      </c>
      <c r="H1" t="s">
        <v>80</v>
      </c>
      <c r="I1" t="s">
        <v>81</v>
      </c>
    </row>
    <row r="2" spans="1:9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tr">
        <f>IF(F2="ROAD PAINT", "Paint", "Non-paint")</f>
        <v>Paint</v>
      </c>
      <c r="I2" t="str">
        <f>IF(H2="Paint", "Road Marking", "NA")</f>
        <v>Road Marking</v>
      </c>
    </row>
    <row r="3" spans="1:9" x14ac:dyDescent="0.2">
      <c r="A3" t="s">
        <v>5</v>
      </c>
      <c r="B3" t="s">
        <v>6</v>
      </c>
      <c r="C3" t="s">
        <v>7</v>
      </c>
      <c r="D3" t="s">
        <v>12</v>
      </c>
      <c r="E3" t="s">
        <v>9</v>
      </c>
      <c r="F3" t="s">
        <v>10</v>
      </c>
      <c r="G3" t="s">
        <v>13</v>
      </c>
      <c r="H3" t="str">
        <f t="shared" ref="H3:H50" si="0">IF(F3="ROAD PAINT", "Paint", "Non-paint")</f>
        <v>Paint</v>
      </c>
      <c r="I3" t="str">
        <f t="shared" ref="I3:I50" si="1">IF(H3="Paint", "Road marking", "NA")</f>
        <v>Road marking</v>
      </c>
    </row>
    <row r="4" spans="1:9" x14ac:dyDescent="0.2">
      <c r="A4" t="s">
        <v>5</v>
      </c>
      <c r="B4" t="s">
        <v>6</v>
      </c>
      <c r="C4" t="s">
        <v>14</v>
      </c>
      <c r="D4" t="s">
        <v>8</v>
      </c>
      <c r="E4" t="s">
        <v>15</v>
      </c>
      <c r="F4" t="s">
        <v>10</v>
      </c>
      <c r="G4" t="s">
        <v>16</v>
      </c>
      <c r="H4" t="str">
        <f t="shared" si="0"/>
        <v>Paint</v>
      </c>
      <c r="I4" t="str">
        <f t="shared" si="1"/>
        <v>Road marking</v>
      </c>
    </row>
    <row r="5" spans="1:9" x14ac:dyDescent="0.2">
      <c r="A5" t="s">
        <v>5</v>
      </c>
      <c r="B5" t="s">
        <v>6</v>
      </c>
      <c r="C5" t="s">
        <v>14</v>
      </c>
      <c r="D5" t="s">
        <v>12</v>
      </c>
      <c r="E5" t="s">
        <v>9</v>
      </c>
      <c r="F5" t="s">
        <v>10</v>
      </c>
      <c r="G5" t="s">
        <v>17</v>
      </c>
      <c r="H5" t="str">
        <f t="shared" si="0"/>
        <v>Paint</v>
      </c>
      <c r="I5" t="str">
        <f t="shared" si="1"/>
        <v>Road marking</v>
      </c>
    </row>
    <row r="6" spans="1:9" x14ac:dyDescent="0.2">
      <c r="A6" t="s">
        <v>5</v>
      </c>
      <c r="B6" t="s">
        <v>6</v>
      </c>
      <c r="C6" t="s">
        <v>18</v>
      </c>
      <c r="D6" t="s">
        <v>12</v>
      </c>
      <c r="E6" t="s">
        <v>9</v>
      </c>
      <c r="F6" t="s">
        <v>10</v>
      </c>
      <c r="G6" t="s">
        <v>19</v>
      </c>
      <c r="H6" t="str">
        <f t="shared" si="0"/>
        <v>Paint</v>
      </c>
      <c r="I6" t="str">
        <f t="shared" si="1"/>
        <v>Road marking</v>
      </c>
    </row>
    <row r="7" spans="1:9" x14ac:dyDescent="0.2">
      <c r="A7" t="s">
        <v>5</v>
      </c>
      <c r="B7" t="s">
        <v>6</v>
      </c>
      <c r="C7" t="s">
        <v>6</v>
      </c>
      <c r="D7" t="s">
        <v>12</v>
      </c>
      <c r="E7" t="s">
        <v>9</v>
      </c>
      <c r="F7" t="s">
        <v>10</v>
      </c>
      <c r="G7" t="s">
        <v>35</v>
      </c>
      <c r="H7" t="str">
        <f t="shared" si="0"/>
        <v>Paint</v>
      </c>
      <c r="I7" t="str">
        <f t="shared" si="1"/>
        <v>Road marking</v>
      </c>
    </row>
    <row r="8" spans="1:9" x14ac:dyDescent="0.2">
      <c r="A8" t="s">
        <v>5</v>
      </c>
      <c r="B8" t="s">
        <v>6</v>
      </c>
      <c r="C8" t="s">
        <v>6</v>
      </c>
      <c r="D8" t="s">
        <v>8</v>
      </c>
      <c r="E8" t="s">
        <v>9</v>
      </c>
      <c r="F8" t="s">
        <v>10</v>
      </c>
      <c r="G8" t="s">
        <v>20</v>
      </c>
      <c r="H8" t="str">
        <f t="shared" si="0"/>
        <v>Paint</v>
      </c>
      <c r="I8" t="str">
        <f t="shared" si="1"/>
        <v>Road marking</v>
      </c>
    </row>
    <row r="9" spans="1:9" x14ac:dyDescent="0.2">
      <c r="A9" t="s">
        <v>5</v>
      </c>
      <c r="B9" t="s">
        <v>6</v>
      </c>
      <c r="C9" t="s">
        <v>21</v>
      </c>
      <c r="D9" t="s">
        <v>12</v>
      </c>
      <c r="E9" t="s">
        <v>9</v>
      </c>
      <c r="F9" t="s">
        <v>10</v>
      </c>
      <c r="G9" t="s">
        <v>36</v>
      </c>
      <c r="H9" t="str">
        <f t="shared" si="0"/>
        <v>Paint</v>
      </c>
      <c r="I9" t="str">
        <f t="shared" si="1"/>
        <v>Road marking</v>
      </c>
    </row>
    <row r="10" spans="1:9" x14ac:dyDescent="0.2">
      <c r="A10" t="s">
        <v>5</v>
      </c>
      <c r="B10" t="s">
        <v>6</v>
      </c>
      <c r="C10" t="s">
        <v>21</v>
      </c>
      <c r="D10" t="s">
        <v>8</v>
      </c>
      <c r="E10" t="s">
        <v>9</v>
      </c>
      <c r="F10" t="s">
        <v>10</v>
      </c>
      <c r="G10" t="s">
        <v>37</v>
      </c>
      <c r="H10" t="str">
        <f t="shared" si="0"/>
        <v>Paint</v>
      </c>
      <c r="I10" t="str">
        <f t="shared" si="1"/>
        <v>Road marking</v>
      </c>
    </row>
    <row r="11" spans="1:9" x14ac:dyDescent="0.2">
      <c r="A11" t="s">
        <v>5</v>
      </c>
      <c r="B11" t="s">
        <v>21</v>
      </c>
      <c r="C11" t="s">
        <v>22</v>
      </c>
      <c r="D11" t="s">
        <v>12</v>
      </c>
      <c r="E11" t="s">
        <v>9</v>
      </c>
      <c r="F11" t="s">
        <v>10</v>
      </c>
      <c r="G11" t="s">
        <v>38</v>
      </c>
      <c r="H11" t="str">
        <f t="shared" si="0"/>
        <v>Paint</v>
      </c>
      <c r="I11" t="str">
        <f t="shared" si="1"/>
        <v>Road marking</v>
      </c>
    </row>
    <row r="12" spans="1:9" x14ac:dyDescent="0.2">
      <c r="A12" t="s">
        <v>5</v>
      </c>
      <c r="B12" t="s">
        <v>21</v>
      </c>
      <c r="C12" t="s">
        <v>7</v>
      </c>
      <c r="D12" t="s">
        <v>12</v>
      </c>
      <c r="E12" t="s">
        <v>9</v>
      </c>
      <c r="F12" t="s">
        <v>10</v>
      </c>
      <c r="G12" t="s">
        <v>39</v>
      </c>
      <c r="H12" t="str">
        <f t="shared" si="0"/>
        <v>Paint</v>
      </c>
      <c r="I12" t="str">
        <f t="shared" si="1"/>
        <v>Road marking</v>
      </c>
    </row>
    <row r="13" spans="1:9" x14ac:dyDescent="0.2">
      <c r="A13" t="s">
        <v>5</v>
      </c>
      <c r="B13" t="s">
        <v>21</v>
      </c>
      <c r="C13" t="s">
        <v>14</v>
      </c>
      <c r="D13" t="s">
        <v>8</v>
      </c>
      <c r="E13" t="s">
        <v>9</v>
      </c>
      <c r="F13" t="s">
        <v>10</v>
      </c>
      <c r="G13" t="s">
        <v>40</v>
      </c>
      <c r="H13" t="str">
        <f t="shared" si="0"/>
        <v>Paint</v>
      </c>
      <c r="I13" t="str">
        <f t="shared" si="1"/>
        <v>Road marking</v>
      </c>
    </row>
    <row r="14" spans="1:9" x14ac:dyDescent="0.2">
      <c r="A14" t="s">
        <v>5</v>
      </c>
      <c r="B14" t="s">
        <v>21</v>
      </c>
      <c r="C14" t="s">
        <v>18</v>
      </c>
      <c r="D14" t="s">
        <v>12</v>
      </c>
      <c r="E14" t="s">
        <v>9</v>
      </c>
      <c r="F14" t="s">
        <v>10</v>
      </c>
      <c r="G14" t="s">
        <v>41</v>
      </c>
      <c r="H14" t="str">
        <f t="shared" si="0"/>
        <v>Paint</v>
      </c>
      <c r="I14" t="str">
        <f t="shared" si="1"/>
        <v>Road marking</v>
      </c>
    </row>
    <row r="15" spans="1:9" x14ac:dyDescent="0.2">
      <c r="A15" t="s">
        <v>5</v>
      </c>
      <c r="B15" t="s">
        <v>21</v>
      </c>
      <c r="C15" t="s">
        <v>21</v>
      </c>
      <c r="D15" t="s">
        <v>12</v>
      </c>
      <c r="E15" t="s">
        <v>9</v>
      </c>
      <c r="F15" t="s">
        <v>10</v>
      </c>
      <c r="G15" t="s">
        <v>42</v>
      </c>
      <c r="H15" t="str">
        <f t="shared" si="0"/>
        <v>Paint</v>
      </c>
      <c r="I15" t="str">
        <f t="shared" si="1"/>
        <v>Road marking</v>
      </c>
    </row>
    <row r="16" spans="1:9" x14ac:dyDescent="0.2">
      <c r="A16" t="s">
        <v>5</v>
      </c>
      <c r="B16" t="s">
        <v>23</v>
      </c>
      <c r="C16" t="s">
        <v>22</v>
      </c>
      <c r="D16" t="s">
        <v>8</v>
      </c>
      <c r="E16" t="s">
        <v>9</v>
      </c>
      <c r="F16" t="s">
        <v>10</v>
      </c>
      <c r="G16" t="s">
        <v>43</v>
      </c>
      <c r="H16" t="str">
        <f t="shared" si="0"/>
        <v>Paint</v>
      </c>
      <c r="I16" t="str">
        <f t="shared" si="1"/>
        <v>Road marking</v>
      </c>
    </row>
    <row r="17" spans="1:9" x14ac:dyDescent="0.2">
      <c r="A17" t="s">
        <v>5</v>
      </c>
      <c r="B17" t="s">
        <v>23</v>
      </c>
      <c r="C17" t="s">
        <v>7</v>
      </c>
      <c r="D17" t="s">
        <v>12</v>
      </c>
      <c r="E17" t="s">
        <v>9</v>
      </c>
      <c r="F17" t="s">
        <v>10</v>
      </c>
      <c r="G17" t="s">
        <v>44</v>
      </c>
      <c r="H17" t="str">
        <f t="shared" si="0"/>
        <v>Paint</v>
      </c>
      <c r="I17" t="str">
        <f t="shared" si="1"/>
        <v>Road marking</v>
      </c>
    </row>
    <row r="18" spans="1:9" x14ac:dyDescent="0.2">
      <c r="A18" t="s">
        <v>5</v>
      </c>
      <c r="B18" t="s">
        <v>23</v>
      </c>
      <c r="C18" t="s">
        <v>7</v>
      </c>
      <c r="D18" t="s">
        <v>8</v>
      </c>
      <c r="E18" t="s">
        <v>9</v>
      </c>
      <c r="F18" t="s">
        <v>10</v>
      </c>
      <c r="G18" t="s">
        <v>45</v>
      </c>
      <c r="H18" t="str">
        <f t="shared" si="0"/>
        <v>Paint</v>
      </c>
      <c r="I18" t="str">
        <f t="shared" si="1"/>
        <v>Road marking</v>
      </c>
    </row>
    <row r="19" spans="1:9" x14ac:dyDescent="0.2">
      <c r="A19" t="s">
        <v>5</v>
      </c>
      <c r="B19" t="s">
        <v>23</v>
      </c>
      <c r="C19" t="s">
        <v>14</v>
      </c>
      <c r="D19" t="s">
        <v>12</v>
      </c>
      <c r="E19" t="s">
        <v>9</v>
      </c>
      <c r="F19" t="s">
        <v>10</v>
      </c>
      <c r="G19" t="s">
        <v>46</v>
      </c>
      <c r="H19" t="str">
        <f t="shared" si="0"/>
        <v>Paint</v>
      </c>
      <c r="I19" t="str">
        <f t="shared" si="1"/>
        <v>Road marking</v>
      </c>
    </row>
    <row r="20" spans="1:9" x14ac:dyDescent="0.2">
      <c r="A20" t="s">
        <v>5</v>
      </c>
      <c r="B20" t="s">
        <v>23</v>
      </c>
      <c r="C20" t="s">
        <v>18</v>
      </c>
      <c r="D20" t="s">
        <v>12</v>
      </c>
      <c r="E20" t="s">
        <v>9</v>
      </c>
      <c r="F20" t="s">
        <v>10</v>
      </c>
      <c r="G20" t="s">
        <v>47</v>
      </c>
      <c r="H20" t="str">
        <f t="shared" si="0"/>
        <v>Paint</v>
      </c>
      <c r="I20" t="str">
        <f t="shared" si="1"/>
        <v>Road marking</v>
      </c>
    </row>
    <row r="21" spans="1:9" x14ac:dyDescent="0.2">
      <c r="A21" t="s">
        <v>5</v>
      </c>
      <c r="B21" t="s">
        <v>23</v>
      </c>
      <c r="C21" t="s">
        <v>6</v>
      </c>
      <c r="D21" t="s">
        <v>12</v>
      </c>
      <c r="E21" t="s">
        <v>9</v>
      </c>
      <c r="F21" t="s">
        <v>10</v>
      </c>
      <c r="G21" t="s">
        <v>48</v>
      </c>
      <c r="H21" t="str">
        <f t="shared" si="0"/>
        <v>Paint</v>
      </c>
      <c r="I21" t="str">
        <f t="shared" si="1"/>
        <v>Road marking</v>
      </c>
    </row>
    <row r="22" spans="1:9" x14ac:dyDescent="0.2">
      <c r="A22" t="s">
        <v>5</v>
      </c>
      <c r="B22" t="s">
        <v>23</v>
      </c>
      <c r="C22" t="s">
        <v>21</v>
      </c>
      <c r="D22" t="s">
        <v>12</v>
      </c>
      <c r="E22" t="s">
        <v>15</v>
      </c>
      <c r="F22" t="s">
        <v>10</v>
      </c>
      <c r="G22" t="s">
        <v>49</v>
      </c>
      <c r="H22" t="str">
        <f t="shared" si="0"/>
        <v>Paint</v>
      </c>
      <c r="I22" t="str">
        <f t="shared" si="1"/>
        <v>Road marking</v>
      </c>
    </row>
    <row r="23" spans="1:9" x14ac:dyDescent="0.2">
      <c r="A23" t="s">
        <v>24</v>
      </c>
      <c r="B23" t="s">
        <v>6</v>
      </c>
      <c r="C23" t="s">
        <v>22</v>
      </c>
      <c r="D23" t="s">
        <v>12</v>
      </c>
      <c r="E23" t="s">
        <v>15</v>
      </c>
      <c r="F23" t="s">
        <v>10</v>
      </c>
      <c r="G23" t="s">
        <v>50</v>
      </c>
      <c r="H23" t="str">
        <f t="shared" si="0"/>
        <v>Paint</v>
      </c>
      <c r="I23" t="str">
        <f t="shared" si="1"/>
        <v>Road marking</v>
      </c>
    </row>
    <row r="24" spans="1:9" x14ac:dyDescent="0.2">
      <c r="A24" t="s">
        <v>24</v>
      </c>
      <c r="B24" t="s">
        <v>6</v>
      </c>
      <c r="C24" t="s">
        <v>7</v>
      </c>
      <c r="D24" t="s">
        <v>8</v>
      </c>
      <c r="E24" t="s">
        <v>25</v>
      </c>
      <c r="F24" t="s">
        <v>26</v>
      </c>
      <c r="G24" t="s">
        <v>51</v>
      </c>
      <c r="H24" t="str">
        <f t="shared" si="0"/>
        <v>Non-paint</v>
      </c>
      <c r="I24" t="str">
        <f t="shared" si="1"/>
        <v>NA</v>
      </c>
    </row>
    <row r="25" spans="1:9" x14ac:dyDescent="0.2">
      <c r="A25" t="s">
        <v>24</v>
      </c>
      <c r="B25" t="s">
        <v>6</v>
      </c>
      <c r="C25" t="s">
        <v>14</v>
      </c>
      <c r="D25" t="s">
        <v>12</v>
      </c>
      <c r="E25" t="s">
        <v>9</v>
      </c>
      <c r="F25" t="s">
        <v>10</v>
      </c>
      <c r="G25" t="s">
        <v>52</v>
      </c>
      <c r="H25" t="str">
        <f t="shared" si="0"/>
        <v>Paint</v>
      </c>
      <c r="I25" t="str">
        <f t="shared" si="1"/>
        <v>Road marking</v>
      </c>
    </row>
    <row r="26" spans="1:9" x14ac:dyDescent="0.2">
      <c r="A26" t="s">
        <v>24</v>
      </c>
      <c r="B26" t="s">
        <v>6</v>
      </c>
      <c r="C26" t="s">
        <v>18</v>
      </c>
      <c r="D26" t="s">
        <v>8</v>
      </c>
      <c r="E26" t="s">
        <v>25</v>
      </c>
      <c r="F26" t="s">
        <v>26</v>
      </c>
      <c r="G26" t="s">
        <v>53</v>
      </c>
      <c r="H26" t="str">
        <f t="shared" si="0"/>
        <v>Non-paint</v>
      </c>
      <c r="I26" t="str">
        <f t="shared" si="1"/>
        <v>NA</v>
      </c>
    </row>
    <row r="27" spans="1:9" x14ac:dyDescent="0.2">
      <c r="A27" t="s">
        <v>24</v>
      </c>
      <c r="B27" t="s">
        <v>6</v>
      </c>
      <c r="C27" t="s">
        <v>21</v>
      </c>
      <c r="D27" t="s">
        <v>8</v>
      </c>
      <c r="E27" t="s">
        <v>25</v>
      </c>
      <c r="F27" t="s">
        <v>26</v>
      </c>
      <c r="G27" t="s">
        <v>54</v>
      </c>
      <c r="H27" t="str">
        <f t="shared" si="0"/>
        <v>Non-paint</v>
      </c>
      <c r="I27" t="str">
        <f t="shared" si="1"/>
        <v>NA</v>
      </c>
    </row>
    <row r="28" spans="1:9" x14ac:dyDescent="0.2">
      <c r="A28" t="s">
        <v>24</v>
      </c>
      <c r="B28" t="s">
        <v>21</v>
      </c>
      <c r="C28" t="s">
        <v>14</v>
      </c>
      <c r="D28" t="s">
        <v>8</v>
      </c>
      <c r="E28" t="s">
        <v>15</v>
      </c>
      <c r="F28" t="s">
        <v>10</v>
      </c>
      <c r="G28" t="s">
        <v>55</v>
      </c>
      <c r="H28" t="str">
        <f t="shared" si="0"/>
        <v>Paint</v>
      </c>
      <c r="I28" t="str">
        <f t="shared" si="1"/>
        <v>Road marking</v>
      </c>
    </row>
    <row r="29" spans="1:9" x14ac:dyDescent="0.2">
      <c r="A29" t="s">
        <v>24</v>
      </c>
      <c r="B29" t="s">
        <v>21</v>
      </c>
      <c r="C29" t="s">
        <v>21</v>
      </c>
      <c r="D29" t="s">
        <v>12</v>
      </c>
      <c r="E29" t="s">
        <v>9</v>
      </c>
      <c r="F29" t="s">
        <v>10</v>
      </c>
      <c r="G29" t="s">
        <v>56</v>
      </c>
      <c r="H29" t="str">
        <f t="shared" si="0"/>
        <v>Paint</v>
      </c>
      <c r="I29" t="str">
        <f t="shared" si="1"/>
        <v>Road marking</v>
      </c>
    </row>
    <row r="30" spans="1:9" x14ac:dyDescent="0.2">
      <c r="A30" t="s">
        <v>24</v>
      </c>
      <c r="B30" t="s">
        <v>23</v>
      </c>
      <c r="C30" t="s">
        <v>7</v>
      </c>
      <c r="D30" t="s">
        <v>8</v>
      </c>
      <c r="E30" t="s">
        <v>27</v>
      </c>
      <c r="F30" t="s">
        <v>26</v>
      </c>
      <c r="G30" t="s">
        <v>57</v>
      </c>
      <c r="H30" t="str">
        <f t="shared" si="0"/>
        <v>Non-paint</v>
      </c>
      <c r="I30" t="str">
        <f t="shared" si="1"/>
        <v>NA</v>
      </c>
    </row>
    <row r="31" spans="1:9" x14ac:dyDescent="0.2">
      <c r="A31" t="s">
        <v>24</v>
      </c>
      <c r="B31" t="s">
        <v>23</v>
      </c>
      <c r="C31" t="s">
        <v>21</v>
      </c>
      <c r="D31" t="s">
        <v>8</v>
      </c>
      <c r="E31" t="s">
        <v>15</v>
      </c>
      <c r="F31" t="s">
        <v>10</v>
      </c>
      <c r="G31" t="s">
        <v>58</v>
      </c>
      <c r="H31" t="str">
        <f t="shared" si="0"/>
        <v>Paint</v>
      </c>
      <c r="I31" t="str">
        <f t="shared" si="1"/>
        <v>Road marking</v>
      </c>
    </row>
    <row r="32" spans="1:9" x14ac:dyDescent="0.2">
      <c r="A32" t="s">
        <v>28</v>
      </c>
      <c r="B32" t="s">
        <v>23</v>
      </c>
      <c r="C32" t="s">
        <v>23</v>
      </c>
      <c r="D32" t="s">
        <v>12</v>
      </c>
      <c r="E32" t="s">
        <v>9</v>
      </c>
      <c r="F32" t="s">
        <v>10</v>
      </c>
      <c r="G32" t="s">
        <v>59</v>
      </c>
      <c r="H32" t="str">
        <f>IF(F32="ROAD PAINT", "Paint", "Non-paint")</f>
        <v>Paint</v>
      </c>
      <c r="I32" t="str">
        <f t="shared" si="1"/>
        <v>Road marking</v>
      </c>
    </row>
    <row r="33" spans="1:9" x14ac:dyDescent="0.2">
      <c r="A33" t="s">
        <v>28</v>
      </c>
      <c r="B33" t="s">
        <v>23</v>
      </c>
      <c r="C33" t="s">
        <v>23</v>
      </c>
      <c r="D33" t="s">
        <v>8</v>
      </c>
      <c r="E33" t="s">
        <v>29</v>
      </c>
      <c r="F33" t="s">
        <v>26</v>
      </c>
      <c r="G33" t="s">
        <v>60</v>
      </c>
      <c r="H33" t="str">
        <f t="shared" si="0"/>
        <v>Non-paint</v>
      </c>
      <c r="I33" t="str">
        <f t="shared" si="1"/>
        <v>NA</v>
      </c>
    </row>
    <row r="34" spans="1:9" x14ac:dyDescent="0.2">
      <c r="A34" t="s">
        <v>28</v>
      </c>
      <c r="B34" t="s">
        <v>23</v>
      </c>
      <c r="C34" t="s">
        <v>30</v>
      </c>
      <c r="D34" t="s">
        <v>12</v>
      </c>
      <c r="E34" t="s">
        <v>9</v>
      </c>
      <c r="F34" t="s">
        <v>10</v>
      </c>
      <c r="G34" t="s">
        <v>61</v>
      </c>
      <c r="H34" t="str">
        <f t="shared" si="0"/>
        <v>Paint</v>
      </c>
      <c r="I34" t="str">
        <f t="shared" si="1"/>
        <v>Road marking</v>
      </c>
    </row>
    <row r="35" spans="1:9" x14ac:dyDescent="0.2">
      <c r="A35" t="s">
        <v>28</v>
      </c>
      <c r="B35" t="s">
        <v>23</v>
      </c>
      <c r="C35" t="s">
        <v>30</v>
      </c>
      <c r="D35" t="s">
        <v>8</v>
      </c>
      <c r="E35" t="s">
        <v>9</v>
      </c>
      <c r="F35" t="s">
        <v>10</v>
      </c>
      <c r="G35" t="s">
        <v>62</v>
      </c>
      <c r="H35" t="str">
        <f t="shared" si="0"/>
        <v>Paint</v>
      </c>
      <c r="I35" t="str">
        <f t="shared" si="1"/>
        <v>Road marking</v>
      </c>
    </row>
    <row r="36" spans="1:9" x14ac:dyDescent="0.2">
      <c r="A36" t="s">
        <v>28</v>
      </c>
      <c r="B36" t="s">
        <v>30</v>
      </c>
      <c r="C36" t="s">
        <v>30</v>
      </c>
      <c r="D36" t="s">
        <v>8</v>
      </c>
      <c r="E36" t="s">
        <v>15</v>
      </c>
      <c r="F36" t="s">
        <v>31</v>
      </c>
      <c r="G36" t="s">
        <v>63</v>
      </c>
      <c r="H36" t="str">
        <f t="shared" si="0"/>
        <v>Non-paint</v>
      </c>
      <c r="I36" t="str">
        <f t="shared" si="1"/>
        <v>NA</v>
      </c>
    </row>
    <row r="37" spans="1:9" x14ac:dyDescent="0.2">
      <c r="A37" t="s">
        <v>28</v>
      </c>
      <c r="B37" t="s">
        <v>30</v>
      </c>
      <c r="C37" t="s">
        <v>30</v>
      </c>
      <c r="D37" t="s">
        <v>12</v>
      </c>
      <c r="E37" t="s">
        <v>9</v>
      </c>
      <c r="F37" t="s">
        <v>32</v>
      </c>
      <c r="G37" t="s">
        <v>64</v>
      </c>
      <c r="H37" t="str">
        <f t="shared" si="0"/>
        <v>Non-paint</v>
      </c>
      <c r="I37" t="str">
        <f t="shared" si="1"/>
        <v>NA</v>
      </c>
    </row>
    <row r="38" spans="1:9" x14ac:dyDescent="0.2">
      <c r="A38" t="s">
        <v>28</v>
      </c>
      <c r="B38" t="s">
        <v>30</v>
      </c>
      <c r="C38" t="s">
        <v>23</v>
      </c>
      <c r="D38" t="s">
        <v>8</v>
      </c>
      <c r="E38" t="s">
        <v>33</v>
      </c>
      <c r="F38" t="s">
        <v>26</v>
      </c>
      <c r="G38" t="s">
        <v>65</v>
      </c>
      <c r="H38" t="str">
        <f t="shared" si="0"/>
        <v>Non-paint</v>
      </c>
      <c r="I38" t="str">
        <f t="shared" si="1"/>
        <v>NA</v>
      </c>
    </row>
    <row r="39" spans="1:9" x14ac:dyDescent="0.2">
      <c r="A39" t="s">
        <v>34</v>
      </c>
      <c r="B39" t="s">
        <v>6</v>
      </c>
      <c r="C39" t="s">
        <v>22</v>
      </c>
      <c r="D39" t="s">
        <v>8</v>
      </c>
      <c r="E39" t="s">
        <v>15</v>
      </c>
      <c r="F39" t="s">
        <v>10</v>
      </c>
      <c r="G39" t="s">
        <v>66</v>
      </c>
      <c r="H39" t="str">
        <f t="shared" si="0"/>
        <v>Paint</v>
      </c>
      <c r="I39" t="str">
        <f t="shared" si="1"/>
        <v>Road marking</v>
      </c>
    </row>
    <row r="40" spans="1:9" x14ac:dyDescent="0.2">
      <c r="A40" t="s">
        <v>34</v>
      </c>
      <c r="B40" t="s">
        <v>6</v>
      </c>
      <c r="C40" t="s">
        <v>7</v>
      </c>
      <c r="D40" t="s">
        <v>8</v>
      </c>
      <c r="E40" t="s">
        <v>15</v>
      </c>
      <c r="F40" t="s">
        <v>10</v>
      </c>
      <c r="G40" t="s">
        <v>67</v>
      </c>
      <c r="H40" t="str">
        <f t="shared" si="0"/>
        <v>Paint</v>
      </c>
      <c r="I40" t="str">
        <f t="shared" si="1"/>
        <v>Road marking</v>
      </c>
    </row>
    <row r="41" spans="1:9" x14ac:dyDescent="0.2">
      <c r="A41" t="s">
        <v>34</v>
      </c>
      <c r="B41" t="s">
        <v>30</v>
      </c>
      <c r="C41" t="s">
        <v>7</v>
      </c>
      <c r="D41" t="s">
        <v>8</v>
      </c>
      <c r="E41" t="s">
        <v>15</v>
      </c>
      <c r="F41" t="s">
        <v>10</v>
      </c>
      <c r="G41" t="s">
        <v>68</v>
      </c>
      <c r="H41" t="str">
        <f t="shared" si="0"/>
        <v>Paint</v>
      </c>
      <c r="I41" t="str">
        <f t="shared" si="1"/>
        <v>Road marking</v>
      </c>
    </row>
    <row r="42" spans="1:9" x14ac:dyDescent="0.2">
      <c r="A42" t="s">
        <v>34</v>
      </c>
      <c r="B42" t="s">
        <v>6</v>
      </c>
      <c r="C42" t="s">
        <v>7</v>
      </c>
      <c r="D42" t="s">
        <v>12</v>
      </c>
      <c r="E42" t="s">
        <v>15</v>
      </c>
      <c r="F42" t="s">
        <v>10</v>
      </c>
      <c r="G42" t="s">
        <v>69</v>
      </c>
      <c r="H42" t="str">
        <f t="shared" si="0"/>
        <v>Paint</v>
      </c>
      <c r="I42" t="str">
        <f t="shared" si="1"/>
        <v>Road marking</v>
      </c>
    </row>
    <row r="43" spans="1:9" x14ac:dyDescent="0.2">
      <c r="A43" t="s">
        <v>34</v>
      </c>
      <c r="B43" t="s">
        <v>6</v>
      </c>
      <c r="C43" t="s">
        <v>18</v>
      </c>
      <c r="D43" t="s">
        <v>12</v>
      </c>
      <c r="E43" t="s">
        <v>15</v>
      </c>
      <c r="F43" t="s">
        <v>10</v>
      </c>
      <c r="G43" t="s">
        <v>70</v>
      </c>
      <c r="H43" t="str">
        <f t="shared" si="0"/>
        <v>Paint</v>
      </c>
      <c r="I43" t="str">
        <f t="shared" si="1"/>
        <v>Road marking</v>
      </c>
    </row>
    <row r="44" spans="1:9" x14ac:dyDescent="0.2">
      <c r="A44" t="s">
        <v>34</v>
      </c>
      <c r="B44" t="s">
        <v>21</v>
      </c>
      <c r="C44" t="s">
        <v>14</v>
      </c>
      <c r="D44" t="s">
        <v>12</v>
      </c>
      <c r="E44" t="s">
        <v>29</v>
      </c>
      <c r="F44" t="s">
        <v>26</v>
      </c>
      <c r="G44" t="s">
        <v>71</v>
      </c>
      <c r="H44" t="str">
        <f t="shared" si="0"/>
        <v>Non-paint</v>
      </c>
      <c r="I44" t="str">
        <f t="shared" si="1"/>
        <v>NA</v>
      </c>
    </row>
    <row r="45" spans="1:9" x14ac:dyDescent="0.2">
      <c r="A45" t="s">
        <v>34</v>
      </c>
      <c r="B45" t="s">
        <v>21</v>
      </c>
      <c r="C45" t="s">
        <v>18</v>
      </c>
      <c r="D45" t="s">
        <v>12</v>
      </c>
      <c r="E45" t="s">
        <v>29</v>
      </c>
      <c r="F45" t="s">
        <v>26</v>
      </c>
      <c r="G45" t="s">
        <v>72</v>
      </c>
      <c r="H45" t="str">
        <f t="shared" si="0"/>
        <v>Non-paint</v>
      </c>
      <c r="I45" t="str">
        <f t="shared" si="1"/>
        <v>NA</v>
      </c>
    </row>
    <row r="46" spans="1:9" x14ac:dyDescent="0.2">
      <c r="A46" t="s">
        <v>34</v>
      </c>
      <c r="B46" t="s">
        <v>21</v>
      </c>
      <c r="C46" t="s">
        <v>6</v>
      </c>
      <c r="D46" t="s">
        <v>12</v>
      </c>
      <c r="E46" t="s">
        <v>25</v>
      </c>
      <c r="F46" t="s">
        <v>26</v>
      </c>
      <c r="G46" t="s">
        <v>73</v>
      </c>
      <c r="H46" t="str">
        <f t="shared" si="0"/>
        <v>Non-paint</v>
      </c>
      <c r="I46" t="str">
        <f t="shared" si="1"/>
        <v>NA</v>
      </c>
    </row>
    <row r="47" spans="1:9" x14ac:dyDescent="0.2">
      <c r="A47" t="s">
        <v>34</v>
      </c>
      <c r="B47" t="s">
        <v>21</v>
      </c>
      <c r="C47" t="s">
        <v>21</v>
      </c>
      <c r="D47" t="s">
        <v>12</v>
      </c>
      <c r="E47" t="s">
        <v>15</v>
      </c>
      <c r="F47" t="s">
        <v>10</v>
      </c>
      <c r="G47" t="s">
        <v>74</v>
      </c>
      <c r="H47" t="str">
        <f t="shared" si="0"/>
        <v>Paint</v>
      </c>
      <c r="I47" t="str">
        <f t="shared" si="1"/>
        <v>Road marking</v>
      </c>
    </row>
    <row r="48" spans="1:9" x14ac:dyDescent="0.2">
      <c r="A48" t="s">
        <v>34</v>
      </c>
      <c r="B48" t="s">
        <v>23</v>
      </c>
      <c r="C48" t="s">
        <v>7</v>
      </c>
      <c r="D48" t="s">
        <v>12</v>
      </c>
      <c r="E48" t="s">
        <v>29</v>
      </c>
      <c r="F48" t="s">
        <v>26</v>
      </c>
      <c r="G48" t="s">
        <v>75</v>
      </c>
      <c r="H48" t="str">
        <f t="shared" si="0"/>
        <v>Non-paint</v>
      </c>
      <c r="I48" t="str">
        <f t="shared" si="1"/>
        <v>NA</v>
      </c>
    </row>
    <row r="49" spans="1:9" x14ac:dyDescent="0.2">
      <c r="A49" t="s">
        <v>34</v>
      </c>
      <c r="B49" t="s">
        <v>23</v>
      </c>
      <c r="C49" t="s">
        <v>14</v>
      </c>
      <c r="D49" t="s">
        <v>12</v>
      </c>
      <c r="E49" t="s">
        <v>9</v>
      </c>
      <c r="F49" t="s">
        <v>10</v>
      </c>
      <c r="G49" t="s">
        <v>76</v>
      </c>
      <c r="H49" t="str">
        <f t="shared" si="0"/>
        <v>Paint</v>
      </c>
      <c r="I49" t="str">
        <f t="shared" si="1"/>
        <v>Road marking</v>
      </c>
    </row>
    <row r="50" spans="1:9" x14ac:dyDescent="0.2">
      <c r="A50" t="s">
        <v>34</v>
      </c>
      <c r="B50" t="s">
        <v>23</v>
      </c>
      <c r="C50" t="s">
        <v>18</v>
      </c>
      <c r="D50" t="s">
        <v>12</v>
      </c>
      <c r="E50" t="s">
        <v>29</v>
      </c>
      <c r="F50" t="s">
        <v>26</v>
      </c>
      <c r="G50" t="s">
        <v>77</v>
      </c>
      <c r="H50" t="str">
        <f t="shared" si="0"/>
        <v>Non-paint</v>
      </c>
      <c r="I50" t="str">
        <f t="shared" si="1"/>
        <v>NA</v>
      </c>
    </row>
  </sheetData>
  <autoFilter ref="A1:I50" xr:uid="{DFA31E58-3686-3B4E-8FB0-FD29198A71C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Zoie Diana</dc:creator>
  <cp:lastModifiedBy>Sosltice Ops</cp:lastModifiedBy>
  <dcterms:created xsi:type="dcterms:W3CDTF">2024-11-27T19:13:12Z</dcterms:created>
  <dcterms:modified xsi:type="dcterms:W3CDTF">2024-11-27T20:29:59Z</dcterms:modified>
</cp:coreProperties>
</file>